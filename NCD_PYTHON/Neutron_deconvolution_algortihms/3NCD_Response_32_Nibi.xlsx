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audhary\Documents\NCD_PYTHON\MLEM\"/>
    </mc:Choice>
  </mc:AlternateContent>
  <xr:revisionPtr revIDLastSave="0" documentId="8_{7CD0DA41-96E8-4A66-9B12-7CFE65D0DA03}" xr6:coauthVersionLast="47" xr6:coauthVersionMax="47" xr10:uidLastSave="{00000000-0000-0000-0000-000000000000}"/>
  <bookViews>
    <workbookView xWindow="-110" yWindow="-110" windowWidth="19420" windowHeight="11500" xr2:uid="{817A4DB4-1970-400E-9E61-091AD74E9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1" l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E5" i="1"/>
  <c r="E4" i="1"/>
  <c r="K4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1"/>
  <c r="D4" i="1"/>
</calcChain>
</file>

<file path=xl/sharedStrings.xml><?xml version="1.0" encoding="utf-8"?>
<sst xmlns="http://schemas.openxmlformats.org/spreadsheetml/2006/main" count="25" uniqueCount="10">
  <si>
    <t>NCD 1 inch PE</t>
  </si>
  <si>
    <t>NCD 2 inch PE</t>
  </si>
  <si>
    <t>NCD 3 inch PE</t>
  </si>
  <si>
    <t>Source Energy(MeV)</t>
  </si>
  <si>
    <t>Triton Counts</t>
  </si>
  <si>
    <t>Events</t>
  </si>
  <si>
    <t>Effective Efficiency</t>
  </si>
  <si>
    <t>Poisson Uncertainty</t>
  </si>
  <si>
    <t>NCD bare</t>
  </si>
  <si>
    <t>Neutron source surface area(m^2):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</si>
</sst>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2D79-16D5-482E-9900-98D9E161D47D}">
  <dimension ref="A1:Z35"/>
  <sheetViews>
    <sheetView tabSelected="1" workbookViewId="0">
      <selection activeCell="Y14" sqref="Y14"/>
    </sheetView>
  </sheetViews>
  <sheetFormatPr defaultRowHeight="14.5" x14ac:dyDescent="0.35"/>
  <cols>
    <col min="1" max="1" width="12.26953125" customWidth="1"/>
    <col min="2" max="2" width="12.6328125" customWidth="1"/>
    <col min="3" max="3" width="11.6328125" customWidth="1"/>
  </cols>
  <sheetData>
    <row r="1" spans="1:26" x14ac:dyDescent="0.35">
      <c r="A1" t="s">
        <v>0</v>
      </c>
      <c r="C1" t="s">
        <v>9</v>
      </c>
      <c r="D1">
        <v>2.9367608129999998</v>
      </c>
      <c r="H1" t="s">
        <v>1</v>
      </c>
      <c r="O1" t="s">
        <v>2</v>
      </c>
      <c r="V1" t="s">
        <v>8</v>
      </c>
    </row>
    <row r="3" spans="1:26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O3" t="s">
        <v>3</v>
      </c>
      <c r="P3" t="s">
        <v>4</v>
      </c>
      <c r="Q3" t="s">
        <v>5</v>
      </c>
      <c r="R3" t="s">
        <v>6</v>
      </c>
      <c r="S3" t="s">
        <v>7</v>
      </c>
      <c r="V3" t="s">
        <v>3</v>
      </c>
      <c r="W3" t="s">
        <v>4</v>
      </c>
      <c r="X3" t="s">
        <v>5</v>
      </c>
      <c r="Y3" t="s">
        <v>6</v>
      </c>
      <c r="Z3" t="s">
        <v>7</v>
      </c>
    </row>
    <row r="4" spans="1:26" x14ac:dyDescent="0.35">
      <c r="A4" s="1">
        <v>1E-10</v>
      </c>
      <c r="B4">
        <v>10447</v>
      </c>
      <c r="C4">
        <v>750001</v>
      </c>
      <c r="D4">
        <f>B4/C4*2.936760813</f>
        <v>4.0907065741793674E-2</v>
      </c>
      <c r="E4">
        <f>SQRT(B4)/C4*2.936760813</f>
        <v>4.0022345003177829E-4</v>
      </c>
      <c r="H4" s="1">
        <v>1E-10</v>
      </c>
      <c r="I4">
        <v>10111</v>
      </c>
      <c r="J4">
        <v>2400001</v>
      </c>
      <c r="K4">
        <f>I4/J4*2.936760813</f>
        <v>1.237232341996649E-2</v>
      </c>
      <c r="L4">
        <f>SQRT(I4)/J4*2.936760813</f>
        <v>1.2304223435831611E-4</v>
      </c>
      <c r="O4" s="1">
        <v>1E-10</v>
      </c>
      <c r="P4">
        <v>10065</v>
      </c>
      <c r="Q4">
        <v>8100001</v>
      </c>
      <c r="R4">
        <f>P4/Q4*2.936760813</f>
        <v>3.649196781931879E-3</v>
      </c>
      <c r="S4">
        <f>SQRT(P4)/Q4*2.936760813</f>
        <v>3.6373943979477314E-5</v>
      </c>
      <c r="V4" s="1">
        <v>1E-10</v>
      </c>
      <c r="W4">
        <v>10356</v>
      </c>
      <c r="X4">
        <v>72001</v>
      </c>
      <c r="Y4">
        <f>W4/X4*2.936760813</f>
        <v>0.42239823029441259</v>
      </c>
      <c r="Z4">
        <f>SQRT(W4)/X4*2.936760813</f>
        <v>4.1507451498427111E-3</v>
      </c>
    </row>
    <row r="5" spans="1:26" x14ac:dyDescent="0.35">
      <c r="A5" s="1">
        <v>1.0000000000000001E-9</v>
      </c>
      <c r="B5">
        <v>10031</v>
      </c>
      <c r="C5">
        <v>640002</v>
      </c>
      <c r="D5">
        <f>B5/C5*2.936760813</f>
        <v>4.6028993214400883E-2</v>
      </c>
      <c r="E5">
        <f>SQRT(B5)/C5*2.936760813</f>
        <v>4.5957813724546433E-4</v>
      </c>
      <c r="H5" s="1">
        <v>1.0000000000000001E-9</v>
      </c>
      <c r="I5">
        <v>10671</v>
      </c>
      <c r="J5">
        <v>2200002</v>
      </c>
      <c r="K5">
        <f>I5/J5*2.936760813</f>
        <v>1.4244611884681469E-2</v>
      </c>
      <c r="L5">
        <f>SQRT(I5)/J5*2.936760813</f>
        <v>1.3789485445826408E-4</v>
      </c>
      <c r="O5" s="1">
        <v>1.0000000000000001E-9</v>
      </c>
      <c r="P5">
        <v>10130</v>
      </c>
      <c r="Q5">
        <v>7300002</v>
      </c>
      <c r="R5">
        <f>P5/Q5*2.936760813</f>
        <v>4.0752573815308543E-3</v>
      </c>
      <c r="S5">
        <f>SQRT(P5)/Q5*2.936760813</f>
        <v>4.0490237115269063E-5</v>
      </c>
      <c r="V5" s="1">
        <v>1.0000000000000001E-9</v>
      </c>
      <c r="W5">
        <v>12861</v>
      </c>
      <c r="X5">
        <v>65002</v>
      </c>
      <c r="Y5">
        <f>W5/X5*2.936760813</f>
        <v>0.58105413396500105</v>
      </c>
      <c r="Z5">
        <f>SQRT(W5)/X5*2.936760813</f>
        <v>5.1236472996621114E-3</v>
      </c>
    </row>
    <row r="6" spans="1:26" x14ac:dyDescent="0.35">
      <c r="A6" s="1">
        <v>1E-8</v>
      </c>
      <c r="B6">
        <v>10515</v>
      </c>
      <c r="C6">
        <v>480003</v>
      </c>
      <c r="D6">
        <f t="shared" ref="D6:D35" si="0">B6/C6*2.936760813</f>
        <v>6.4333014478440753E-2</v>
      </c>
      <c r="E6">
        <f>SQRT(B6)/C6*2.936760813</f>
        <v>6.2737796803625167E-4</v>
      </c>
      <c r="H6" s="1">
        <v>1E-8</v>
      </c>
      <c r="I6">
        <v>10014</v>
      </c>
      <c r="J6">
        <v>1500003</v>
      </c>
      <c r="K6">
        <f t="shared" ref="K6:K35" si="1">I6/J6*2.936760813</f>
        <v>1.9605775976036046E-2</v>
      </c>
      <c r="L6">
        <f>SQRT(I6)/J6*2.936760813</f>
        <v>1.9592066326306779E-4</v>
      </c>
      <c r="O6" s="1">
        <v>1E-8</v>
      </c>
      <c r="P6">
        <v>10205</v>
      </c>
      <c r="Q6">
        <v>5200003</v>
      </c>
      <c r="R6">
        <f t="shared" ref="R6:R35" si="2">P6/Q6*2.936760813</f>
        <v>5.7633897704799401E-3</v>
      </c>
      <c r="S6">
        <f>SQRT(P6)/Q6*2.936760813</f>
        <v>5.705208056472285E-5</v>
      </c>
      <c r="V6" s="1">
        <v>1E-8</v>
      </c>
      <c r="W6">
        <v>10933</v>
      </c>
      <c r="X6">
        <v>50003</v>
      </c>
      <c r="Y6">
        <f t="shared" ref="Y6:Y35" si="3">W6/X6*2.936760813</f>
        <v>0.64211359255502665</v>
      </c>
      <c r="Z6">
        <f>SQRT(W6)/X6*2.936760813</f>
        <v>6.1410437205027604E-3</v>
      </c>
    </row>
    <row r="7" spans="1:26" x14ac:dyDescent="0.35">
      <c r="A7" s="1">
        <v>9.9999999999999995E-8</v>
      </c>
      <c r="B7">
        <v>10627</v>
      </c>
      <c r="C7">
        <v>240004</v>
      </c>
      <c r="D7">
        <f t="shared" si="0"/>
        <v>0.13003515424639173</v>
      </c>
      <c r="E7">
        <f t="shared" ref="E7:E35" si="4">SQRT(B7)/C7*2.936760813</f>
        <v>1.2614075813465761E-3</v>
      </c>
      <c r="H7" s="1">
        <v>9.9999999999999995E-8</v>
      </c>
      <c r="I7">
        <v>100939</v>
      </c>
      <c r="J7">
        <v>7500004</v>
      </c>
      <c r="K7">
        <f t="shared" si="1"/>
        <v>3.952447221406908E-2</v>
      </c>
      <c r="L7">
        <f t="shared" ref="L7:L35" si="5">SQRT(I7)/J7*2.936760813</f>
        <v>1.2440464045296017E-4</v>
      </c>
      <c r="O7" s="1">
        <v>9.9999999999999995E-8</v>
      </c>
      <c r="P7">
        <v>10587</v>
      </c>
      <c r="Q7">
        <v>2700004</v>
      </c>
      <c r="R7">
        <f t="shared" si="2"/>
        <v>1.15153483947546E-2</v>
      </c>
      <c r="S7">
        <f t="shared" ref="S7:S35" si="6">SQRT(P7)/Q7*2.936760813</f>
        <v>1.1191559950405767E-4</v>
      </c>
      <c r="V7" s="1">
        <v>9.9999999999999995E-8</v>
      </c>
      <c r="W7">
        <v>11089</v>
      </c>
      <c r="X7">
        <v>51004</v>
      </c>
      <c r="Y7">
        <f t="shared" si="3"/>
        <v>0.63849385646923762</v>
      </c>
      <c r="Z7">
        <f t="shared" ref="Z7:Z35" si="7">SQRT(W7)/X7*2.936760813</f>
        <v>6.0633205837927646E-3</v>
      </c>
    </row>
    <row r="8" spans="1:26" x14ac:dyDescent="0.35">
      <c r="A8" s="1">
        <v>9.9999999999999995E-7</v>
      </c>
      <c r="B8">
        <v>10695</v>
      </c>
      <c r="C8">
        <v>140005</v>
      </c>
      <c r="D8">
        <f t="shared" si="0"/>
        <v>0.22433953712392413</v>
      </c>
      <c r="E8">
        <f t="shared" si="4"/>
        <v>2.1692790648603463E-3</v>
      </c>
      <c r="H8" s="1">
        <v>9.9999999999999995E-7</v>
      </c>
      <c r="I8">
        <v>10329</v>
      </c>
      <c r="J8">
        <v>420005</v>
      </c>
      <c r="K8">
        <f t="shared" si="1"/>
        <v>7.2222479345429219E-2</v>
      </c>
      <c r="L8">
        <f t="shared" si="5"/>
        <v>7.1062953677852511E-4</v>
      </c>
      <c r="O8" s="1">
        <v>9.9999999999999995E-7</v>
      </c>
      <c r="P8">
        <v>10187</v>
      </c>
      <c r="Q8">
        <v>1400005</v>
      </c>
      <c r="R8">
        <f t="shared" si="2"/>
        <v>2.1369053969115107E-2</v>
      </c>
      <c r="S8">
        <f t="shared" si="6"/>
        <v>2.1172012553692801E-4</v>
      </c>
      <c r="V8" s="1">
        <v>9.9999999999999995E-7</v>
      </c>
      <c r="W8">
        <v>10363</v>
      </c>
      <c r="X8">
        <v>60005</v>
      </c>
      <c r="Y8">
        <f t="shared" si="3"/>
        <v>0.50718527297923499</v>
      </c>
      <c r="Z8">
        <f t="shared" si="7"/>
        <v>4.9822312964384894E-3</v>
      </c>
    </row>
    <row r="9" spans="1:26" x14ac:dyDescent="0.35">
      <c r="A9" s="1">
        <v>1.0000000000000001E-5</v>
      </c>
      <c r="B9">
        <v>10378</v>
      </c>
      <c r="C9">
        <v>110006</v>
      </c>
      <c r="D9">
        <f t="shared" si="0"/>
        <v>0.27705492170712503</v>
      </c>
      <c r="E9">
        <f t="shared" si="4"/>
        <v>2.7196250726809787E-3</v>
      </c>
      <c r="H9" s="1">
        <v>1.0000000000000001E-5</v>
      </c>
      <c r="I9">
        <v>10133</v>
      </c>
      <c r="J9">
        <v>300006</v>
      </c>
      <c r="K9">
        <f t="shared" si="1"/>
        <v>9.9192007220285594E-2</v>
      </c>
      <c r="L9">
        <f t="shared" si="5"/>
        <v>9.8538888062847446E-4</v>
      </c>
      <c r="O9" s="1">
        <v>1.0000000000000001E-5</v>
      </c>
      <c r="P9">
        <v>10251</v>
      </c>
      <c r="Q9">
        <v>1000006</v>
      </c>
      <c r="R9">
        <f t="shared" si="2"/>
        <v>3.0104554466736193E-2</v>
      </c>
      <c r="S9">
        <f t="shared" si="6"/>
        <v>2.9733709051287671E-4</v>
      </c>
      <c r="V9" s="1">
        <v>1.0000000000000001E-5</v>
      </c>
      <c r="W9">
        <v>10973</v>
      </c>
      <c r="X9">
        <v>120006</v>
      </c>
      <c r="Y9">
        <f t="shared" si="3"/>
        <v>0.26852887689823007</v>
      </c>
      <c r="Z9">
        <f t="shared" si="7"/>
        <v>2.5634703927665706E-3</v>
      </c>
    </row>
    <row r="10" spans="1:26" x14ac:dyDescent="0.35">
      <c r="A10" s="1">
        <v>1E-4</v>
      </c>
      <c r="B10">
        <v>10075</v>
      </c>
      <c r="C10">
        <v>100007</v>
      </c>
      <c r="D10">
        <f t="shared" si="0"/>
        <v>0.29585794185382019</v>
      </c>
      <c r="E10">
        <f t="shared" si="4"/>
        <v>2.9475467657487267E-3</v>
      </c>
      <c r="H10" s="1">
        <v>1E-4</v>
      </c>
      <c r="I10">
        <v>10411</v>
      </c>
      <c r="J10">
        <v>250007</v>
      </c>
      <c r="K10">
        <f t="shared" si="1"/>
        <v>0.12229504303536701</v>
      </c>
      <c r="L10">
        <f t="shared" si="5"/>
        <v>1.1985678688432471E-3</v>
      </c>
      <c r="O10" s="1">
        <v>1E-4</v>
      </c>
      <c r="P10">
        <v>10329</v>
      </c>
      <c r="Q10">
        <v>800007</v>
      </c>
      <c r="R10">
        <f t="shared" si="2"/>
        <v>3.7916921273785105E-2</v>
      </c>
      <c r="S10">
        <f t="shared" si="6"/>
        <v>3.7308168377859753E-4</v>
      </c>
      <c r="V10" s="1">
        <v>1E-4</v>
      </c>
      <c r="W10">
        <v>10455</v>
      </c>
      <c r="X10">
        <v>300007</v>
      </c>
      <c r="Y10">
        <f t="shared" si="3"/>
        <v>0.10234372631276936</v>
      </c>
      <c r="Z10">
        <f t="shared" si="7"/>
        <v>1.0009196304915315E-3</v>
      </c>
    </row>
    <row r="11" spans="1:26" x14ac:dyDescent="0.35">
      <c r="A11" s="1">
        <v>1E-3</v>
      </c>
      <c r="B11">
        <v>10482</v>
      </c>
      <c r="C11">
        <v>110008</v>
      </c>
      <c r="D11">
        <f t="shared" si="0"/>
        <v>0.27982625665284339</v>
      </c>
      <c r="E11">
        <f t="shared" si="4"/>
        <v>2.7331683634268726E-3</v>
      </c>
      <c r="H11" s="1">
        <v>1E-3</v>
      </c>
      <c r="I11">
        <v>10271</v>
      </c>
      <c r="J11">
        <v>220008</v>
      </c>
      <c r="K11">
        <f t="shared" si="1"/>
        <v>0.13710169771246045</v>
      </c>
      <c r="L11">
        <f t="shared" si="5"/>
        <v>1.3528089506001796E-3</v>
      </c>
      <c r="O11" s="1">
        <v>1E-3</v>
      </c>
      <c r="P11">
        <v>10691</v>
      </c>
      <c r="Q11">
        <v>700008</v>
      </c>
      <c r="R11">
        <f t="shared" si="2"/>
        <v>4.4852215762938422E-2</v>
      </c>
      <c r="S11">
        <f t="shared" si="6"/>
        <v>4.3378520733516695E-4</v>
      </c>
      <c r="V11" s="1">
        <v>1E-3</v>
      </c>
      <c r="W11">
        <v>10798</v>
      </c>
      <c r="X11">
        <v>900008</v>
      </c>
      <c r="Y11">
        <f t="shared" si="3"/>
        <v>3.523429042716731E-2</v>
      </c>
      <c r="Z11">
        <f t="shared" si="7"/>
        <v>3.3907351486330142E-4</v>
      </c>
    </row>
    <row r="12" spans="1:26" x14ac:dyDescent="0.35">
      <c r="A12" s="1">
        <v>0.01</v>
      </c>
      <c r="B12">
        <v>10557</v>
      </c>
      <c r="C12">
        <v>120009</v>
      </c>
      <c r="D12">
        <f t="shared" si="0"/>
        <v>0.25834215686191031</v>
      </c>
      <c r="E12">
        <f t="shared" si="4"/>
        <v>2.5143458811406382E-3</v>
      </c>
      <c r="H12" s="1">
        <v>0.01</v>
      </c>
      <c r="I12">
        <v>10217</v>
      </c>
      <c r="J12">
        <v>200009</v>
      </c>
      <c r="K12">
        <f t="shared" si="1"/>
        <v>0.15001767533671484</v>
      </c>
      <c r="L12">
        <f t="shared" si="5"/>
        <v>1.4841600412471836E-3</v>
      </c>
      <c r="O12" s="1">
        <v>0.01</v>
      </c>
      <c r="P12">
        <v>6916</v>
      </c>
      <c r="Q12">
        <v>400009</v>
      </c>
      <c r="R12">
        <f t="shared" si="2"/>
        <v>5.0775452009099789E-2</v>
      </c>
      <c r="S12">
        <f t="shared" si="6"/>
        <v>6.1055712816784305E-4</v>
      </c>
      <c r="V12" s="1">
        <v>0.01</v>
      </c>
      <c r="W12">
        <v>10493</v>
      </c>
      <c r="X12">
        <v>3000009</v>
      </c>
      <c r="Y12">
        <f t="shared" si="3"/>
        <v>1.0271779588264234E-2</v>
      </c>
      <c r="Z12">
        <f t="shared" si="7"/>
        <v>1.0027573531281941E-4</v>
      </c>
    </row>
    <row r="13" spans="1:26" x14ac:dyDescent="0.35">
      <c r="A13">
        <v>0.1</v>
      </c>
      <c r="B13">
        <v>10746</v>
      </c>
      <c r="C13">
        <v>130010</v>
      </c>
      <c r="D13">
        <f t="shared" si="0"/>
        <v>0.24273849470423811</v>
      </c>
      <c r="E13">
        <f t="shared" si="4"/>
        <v>2.3416136242908024E-3</v>
      </c>
      <c r="H13">
        <v>0.1</v>
      </c>
      <c r="I13">
        <v>10365</v>
      </c>
      <c r="J13">
        <v>170010</v>
      </c>
      <c r="K13">
        <f t="shared" si="1"/>
        <v>0.17904550218660667</v>
      </c>
      <c r="L13">
        <f t="shared" si="5"/>
        <v>1.7586473514682409E-3</v>
      </c>
      <c r="O13">
        <v>0.1</v>
      </c>
      <c r="P13">
        <v>10416</v>
      </c>
      <c r="Q13">
        <v>420010</v>
      </c>
      <c r="R13">
        <f t="shared" si="2"/>
        <v>7.2829934116349609E-2</v>
      </c>
      <c r="S13">
        <f t="shared" si="6"/>
        <v>7.1360754214901958E-4</v>
      </c>
      <c r="V13">
        <v>0.1</v>
      </c>
      <c r="W13">
        <v>10476</v>
      </c>
      <c r="X13">
        <v>12000010</v>
      </c>
      <c r="Y13">
        <f t="shared" si="3"/>
        <v>2.5637900532572886E-3</v>
      </c>
      <c r="Z13">
        <f t="shared" si="7"/>
        <v>2.5048672431230897E-5</v>
      </c>
    </row>
    <row r="14" spans="1:26" x14ac:dyDescent="0.35">
      <c r="A14" s="1">
        <v>0.5</v>
      </c>
      <c r="B14">
        <v>10715</v>
      </c>
      <c r="C14">
        <v>150011</v>
      </c>
      <c r="D14">
        <f t="shared" si="0"/>
        <v>0.20976723114501603</v>
      </c>
      <c r="E14">
        <f t="shared" si="4"/>
        <v>2.0264764355962164E-3</v>
      </c>
      <c r="H14" s="1">
        <v>0.5</v>
      </c>
      <c r="I14">
        <v>11148</v>
      </c>
      <c r="J14">
        <v>140011</v>
      </c>
      <c r="K14">
        <f t="shared" si="1"/>
        <v>0.23383169567622542</v>
      </c>
      <c r="L14">
        <f t="shared" si="5"/>
        <v>2.2146489714246998E-3</v>
      </c>
      <c r="O14" s="1">
        <v>0.5</v>
      </c>
      <c r="P14">
        <v>12883</v>
      </c>
      <c r="Q14">
        <v>300011</v>
      </c>
      <c r="R14">
        <f t="shared" si="2"/>
        <v>0.12610967449153196</v>
      </c>
      <c r="S14">
        <f t="shared" si="6"/>
        <v>1.1110661112042773E-3</v>
      </c>
      <c r="V14" s="1">
        <v>0.5</v>
      </c>
      <c r="W14">
        <v>11365</v>
      </c>
      <c r="X14">
        <v>25000011</v>
      </c>
      <c r="Y14">
        <f t="shared" si="3"/>
        <v>1.3350508781674135E-3</v>
      </c>
      <c r="Z14">
        <f t="shared" si="7"/>
        <v>1.2523135992625828E-5</v>
      </c>
    </row>
    <row r="15" spans="1:26" x14ac:dyDescent="0.35">
      <c r="A15" s="1">
        <v>1</v>
      </c>
      <c r="B15">
        <v>10514</v>
      </c>
      <c r="C15">
        <v>180012</v>
      </c>
      <c r="D15">
        <f t="shared" si="0"/>
        <v>0.1715280269531031</v>
      </c>
      <c r="E15">
        <f t="shared" si="4"/>
        <v>1.6728272934586526E-3</v>
      </c>
      <c r="H15" s="1">
        <v>1</v>
      </c>
      <c r="I15">
        <v>10667</v>
      </c>
      <c r="J15">
        <v>130012</v>
      </c>
      <c r="K15">
        <f t="shared" si="1"/>
        <v>0.24095027837638833</v>
      </c>
      <c r="L15">
        <f t="shared" si="5"/>
        <v>2.3329545864088502E-3</v>
      </c>
      <c r="O15" s="1">
        <v>1</v>
      </c>
      <c r="P15">
        <v>14299</v>
      </c>
      <c r="Q15">
        <v>250012</v>
      </c>
      <c r="R15">
        <f t="shared" si="2"/>
        <v>0.16796290924070442</v>
      </c>
      <c r="S15">
        <f t="shared" si="6"/>
        <v>1.4046255219399848E-3</v>
      </c>
      <c r="V15" s="1">
        <v>1</v>
      </c>
      <c r="W15">
        <v>11957</v>
      </c>
      <c r="X15">
        <v>30000012</v>
      </c>
      <c r="Y15">
        <f t="shared" si="3"/>
        <v>1.1704944998369E-3</v>
      </c>
      <c r="Z15">
        <f t="shared" si="7"/>
        <v>1.0704299765310264E-5</v>
      </c>
    </row>
    <row r="16" spans="1:26" x14ac:dyDescent="0.35">
      <c r="A16" s="1">
        <v>1.5</v>
      </c>
      <c r="B16">
        <v>9996</v>
      </c>
      <c r="C16">
        <v>200013</v>
      </c>
      <c r="D16">
        <f t="shared" si="0"/>
        <v>0.14676976539898906</v>
      </c>
      <c r="E16">
        <f t="shared" si="4"/>
        <v>1.467991281611912E-3</v>
      </c>
      <c r="H16" s="1">
        <v>1.5</v>
      </c>
      <c r="I16">
        <v>10813</v>
      </c>
      <c r="J16">
        <v>130013</v>
      </c>
      <c r="K16">
        <f t="shared" si="1"/>
        <v>0.24424630360786226</v>
      </c>
      <c r="L16">
        <f t="shared" si="5"/>
        <v>2.3488479189570743E-3</v>
      </c>
      <c r="O16" s="1">
        <v>1.5</v>
      </c>
      <c r="P16">
        <v>15064</v>
      </c>
      <c r="Q16">
        <v>230013</v>
      </c>
      <c r="R16">
        <f t="shared" si="2"/>
        <v>0.192334193663106</v>
      </c>
      <c r="S16">
        <f t="shared" si="6"/>
        <v>1.5670626066708522E-3</v>
      </c>
      <c r="V16" s="1">
        <v>1.5</v>
      </c>
      <c r="W16">
        <v>13040</v>
      </c>
      <c r="X16">
        <v>32000013</v>
      </c>
      <c r="Y16">
        <f t="shared" si="3"/>
        <v>1.1967295451261223E-3</v>
      </c>
      <c r="Z16">
        <f t="shared" si="7"/>
        <v>1.0479901902148882E-5</v>
      </c>
    </row>
    <row r="17" spans="1:26" x14ac:dyDescent="0.35">
      <c r="A17" s="1">
        <v>2</v>
      </c>
      <c r="B17">
        <v>10190</v>
      </c>
      <c r="C17">
        <v>240014</v>
      </c>
      <c r="D17">
        <f t="shared" si="0"/>
        <v>0.12468269636133726</v>
      </c>
      <c r="E17">
        <f t="shared" si="4"/>
        <v>1.2351482678470613E-3</v>
      </c>
      <c r="H17" s="1">
        <v>2</v>
      </c>
      <c r="I17">
        <v>11265</v>
      </c>
      <c r="J17">
        <v>140014</v>
      </c>
      <c r="K17">
        <f t="shared" si="1"/>
        <v>0.23628073305844413</v>
      </c>
      <c r="L17">
        <f t="shared" si="5"/>
        <v>2.2261924808507322E-3</v>
      </c>
      <c r="O17" s="1">
        <v>2</v>
      </c>
      <c r="P17">
        <v>15105</v>
      </c>
      <c r="Q17">
        <v>220014</v>
      </c>
      <c r="R17">
        <f t="shared" si="2"/>
        <v>0.201622497115479</v>
      </c>
      <c r="S17">
        <f t="shared" si="6"/>
        <v>1.6405090268375464E-3</v>
      </c>
      <c r="V17" s="1">
        <v>2</v>
      </c>
      <c r="W17">
        <v>14219</v>
      </c>
      <c r="X17">
        <v>36000014</v>
      </c>
      <c r="Y17">
        <f t="shared" si="3"/>
        <v>1.1599384933585581E-3</v>
      </c>
      <c r="Z17">
        <f t="shared" si="7"/>
        <v>9.7274819569937473E-6</v>
      </c>
    </row>
    <row r="18" spans="1:26" x14ac:dyDescent="0.35">
      <c r="A18" s="1">
        <v>2.5</v>
      </c>
      <c r="B18">
        <v>10354</v>
      </c>
      <c r="C18">
        <v>280015</v>
      </c>
      <c r="D18">
        <f t="shared" si="0"/>
        <v>0.10859140209560916</v>
      </c>
      <c r="E18">
        <f t="shared" si="4"/>
        <v>1.0671890495865723E-3</v>
      </c>
      <c r="H18" s="1">
        <v>2.5</v>
      </c>
      <c r="I18">
        <v>10724</v>
      </c>
      <c r="J18">
        <v>140015</v>
      </c>
      <c r="K18">
        <f t="shared" si="1"/>
        <v>0.22493177844239545</v>
      </c>
      <c r="L18">
        <f t="shared" si="5"/>
        <v>2.172062983603958E-3</v>
      </c>
      <c r="O18" s="1">
        <v>2.5</v>
      </c>
      <c r="P18">
        <v>13889</v>
      </c>
      <c r="Q18">
        <v>200015</v>
      </c>
      <c r="R18">
        <f t="shared" si="2"/>
        <v>0.20392806005428091</v>
      </c>
      <c r="S18">
        <f t="shared" si="6"/>
        <v>1.7303800481568447E-3</v>
      </c>
      <c r="V18" s="1">
        <v>2.5</v>
      </c>
      <c r="W18">
        <v>12679</v>
      </c>
      <c r="X18">
        <v>37000015</v>
      </c>
      <c r="Y18">
        <f t="shared" si="3"/>
        <v>1.0063560879104236E-3</v>
      </c>
      <c r="Z18">
        <f t="shared" si="7"/>
        <v>8.937358465715347E-6</v>
      </c>
    </row>
    <row r="19" spans="1:26" x14ac:dyDescent="0.35">
      <c r="A19" s="1">
        <v>3</v>
      </c>
      <c r="B19">
        <v>10247</v>
      </c>
      <c r="C19">
        <v>310016</v>
      </c>
      <c r="D19">
        <f t="shared" si="0"/>
        <v>9.7069144982229946E-2</v>
      </c>
      <c r="E19">
        <f t="shared" si="4"/>
        <v>9.5892101437827304E-4</v>
      </c>
      <c r="H19" s="1">
        <v>3</v>
      </c>
      <c r="I19">
        <v>10257</v>
      </c>
      <c r="J19">
        <v>140016</v>
      </c>
      <c r="K19">
        <f t="shared" si="1"/>
        <v>0.21513509640998885</v>
      </c>
      <c r="L19">
        <f t="shared" si="5"/>
        <v>2.1242277977421161E-3</v>
      </c>
      <c r="O19" s="1">
        <v>3</v>
      </c>
      <c r="P19">
        <v>18107</v>
      </c>
      <c r="Q19">
        <v>250016</v>
      </c>
      <c r="R19">
        <f t="shared" si="2"/>
        <v>0.21269009999756414</v>
      </c>
      <c r="S19">
        <f t="shared" si="6"/>
        <v>1.5806074501498646E-3</v>
      </c>
      <c r="V19" s="1">
        <v>3</v>
      </c>
      <c r="W19">
        <v>11938</v>
      </c>
      <c r="X19">
        <v>40000016</v>
      </c>
      <c r="Y19">
        <f t="shared" si="3"/>
        <v>8.7647591404948436E-4</v>
      </c>
      <c r="Z19">
        <f t="shared" si="7"/>
        <v>8.0218437536504745E-6</v>
      </c>
    </row>
    <row r="20" spans="1:26" x14ac:dyDescent="0.35">
      <c r="A20" s="1">
        <v>3.5</v>
      </c>
      <c r="B20">
        <v>10188</v>
      </c>
      <c r="C20">
        <v>350017</v>
      </c>
      <c r="D20">
        <f t="shared" si="0"/>
        <v>8.5480759971212822E-2</v>
      </c>
      <c r="E20">
        <f t="shared" si="4"/>
        <v>8.4688395821296263E-4</v>
      </c>
      <c r="H20" s="1">
        <v>3.5</v>
      </c>
      <c r="I20">
        <v>10386</v>
      </c>
      <c r="J20">
        <v>160017</v>
      </c>
      <c r="K20">
        <f t="shared" si="1"/>
        <v>0.19061223372402933</v>
      </c>
      <c r="L20">
        <f t="shared" si="5"/>
        <v>1.8703660535827631E-3</v>
      </c>
      <c r="O20" s="1">
        <v>3.5</v>
      </c>
      <c r="P20">
        <v>15544</v>
      </c>
      <c r="Q20">
        <v>240017</v>
      </c>
      <c r="R20">
        <f t="shared" si="2"/>
        <v>0.1901907368114425</v>
      </c>
      <c r="S20">
        <f t="shared" si="6"/>
        <v>1.5254850896279728E-3</v>
      </c>
      <c r="V20" s="1">
        <v>3.5</v>
      </c>
      <c r="W20">
        <v>11516</v>
      </c>
      <c r="X20">
        <v>45000017</v>
      </c>
      <c r="Y20">
        <f t="shared" si="3"/>
        <v>7.5154943880372308E-4</v>
      </c>
      <c r="Z20">
        <f t="shared" si="7"/>
        <v>7.0033644408479142E-6</v>
      </c>
    </row>
    <row r="21" spans="1:26" x14ac:dyDescent="0.35">
      <c r="A21" s="1">
        <v>4</v>
      </c>
      <c r="B21">
        <v>10360</v>
      </c>
      <c r="C21">
        <v>380018</v>
      </c>
      <c r="D21">
        <f t="shared" si="0"/>
        <v>8.006158135319906E-2</v>
      </c>
      <c r="E21">
        <f t="shared" si="4"/>
        <v>7.8658251136104311E-4</v>
      </c>
      <c r="H21" s="1">
        <v>4</v>
      </c>
      <c r="I21">
        <v>10301</v>
      </c>
      <c r="J21">
        <v>160018</v>
      </c>
      <c r="K21">
        <f t="shared" si="1"/>
        <v>0.18905106384727341</v>
      </c>
      <c r="L21">
        <f t="shared" si="5"/>
        <v>1.8626850633578313E-3</v>
      </c>
      <c r="O21" s="1">
        <v>4</v>
      </c>
      <c r="P21">
        <v>15205</v>
      </c>
      <c r="Q21">
        <v>230018</v>
      </c>
      <c r="R21">
        <f t="shared" si="2"/>
        <v>0.19413023398892695</v>
      </c>
      <c r="S21">
        <f t="shared" si="6"/>
        <v>1.5743452050412383E-3</v>
      </c>
      <c r="V21" s="1">
        <v>4</v>
      </c>
      <c r="W21">
        <v>10975</v>
      </c>
      <c r="X21">
        <v>48000018</v>
      </c>
      <c r="Y21">
        <f t="shared" si="3"/>
        <v>6.7147787158486057E-4</v>
      </c>
      <c r="Z21">
        <f t="shared" si="7"/>
        <v>6.4095780551755604E-6</v>
      </c>
    </row>
    <row r="22" spans="1:26" x14ac:dyDescent="0.35">
      <c r="A22" s="1">
        <v>4.5</v>
      </c>
      <c r="B22">
        <v>10019</v>
      </c>
      <c r="C22">
        <v>410019</v>
      </c>
      <c r="D22">
        <f t="shared" si="0"/>
        <v>7.1761080792468152E-2</v>
      </c>
      <c r="E22">
        <f t="shared" si="4"/>
        <v>7.1693004758718317E-4</v>
      </c>
      <c r="H22" s="1">
        <v>4.5</v>
      </c>
      <c r="I22">
        <v>10721</v>
      </c>
      <c r="J22">
        <v>170019</v>
      </c>
      <c r="K22">
        <f t="shared" si="1"/>
        <v>0.1851852597425758</v>
      </c>
      <c r="L22">
        <f t="shared" si="5"/>
        <v>1.7884992691773441E-3</v>
      </c>
      <c r="O22" s="1">
        <v>4.5</v>
      </c>
      <c r="P22">
        <v>13709</v>
      </c>
      <c r="Q22">
        <v>200019</v>
      </c>
      <c r="R22">
        <f t="shared" si="2"/>
        <v>0.20128114821800425</v>
      </c>
      <c r="S22">
        <f t="shared" si="6"/>
        <v>1.7190963293699923E-3</v>
      </c>
      <c r="V22" s="1">
        <v>4.5</v>
      </c>
      <c r="W22">
        <v>10320</v>
      </c>
      <c r="X22">
        <v>52000019</v>
      </c>
      <c r="Y22">
        <f t="shared" si="3"/>
        <v>5.828338560830141E-4</v>
      </c>
      <c r="Z22">
        <f t="shared" si="7"/>
        <v>5.7372651680218907E-6</v>
      </c>
    </row>
    <row r="23" spans="1:26" x14ac:dyDescent="0.35">
      <c r="A23" s="1">
        <v>5</v>
      </c>
      <c r="B23">
        <v>10430</v>
      </c>
      <c r="C23">
        <v>450020</v>
      </c>
      <c r="D23">
        <f t="shared" si="0"/>
        <v>6.8064564418448062E-2</v>
      </c>
      <c r="E23">
        <f t="shared" si="4"/>
        <v>6.6646740682484531E-4</v>
      </c>
      <c r="H23" s="1">
        <v>5</v>
      </c>
      <c r="I23">
        <v>10707</v>
      </c>
      <c r="J23">
        <v>180020</v>
      </c>
      <c r="K23">
        <f t="shared" si="1"/>
        <v>0.1746689147027608</v>
      </c>
      <c r="L23">
        <f t="shared" si="5"/>
        <v>1.6880360624000441E-3</v>
      </c>
      <c r="O23" s="1">
        <v>5</v>
      </c>
      <c r="P23">
        <v>13872</v>
      </c>
      <c r="Q23">
        <v>200020</v>
      </c>
      <c r="R23">
        <f t="shared" si="2"/>
        <v>0.20367336265341462</v>
      </c>
      <c r="S23">
        <f t="shared" si="6"/>
        <v>1.7292775110986059E-3</v>
      </c>
      <c r="V23" s="1">
        <v>5</v>
      </c>
      <c r="W23">
        <v>10217</v>
      </c>
      <c r="X23">
        <v>56000020</v>
      </c>
      <c r="Y23">
        <f t="shared" si="3"/>
        <v>5.3580133054275693E-4</v>
      </c>
      <c r="Z23">
        <f t="shared" si="7"/>
        <v>5.3008082084579241E-6</v>
      </c>
    </row>
    <row r="24" spans="1:26" x14ac:dyDescent="0.35">
      <c r="A24" s="1">
        <v>5.5</v>
      </c>
      <c r="B24">
        <v>10073</v>
      </c>
      <c r="C24">
        <v>470021</v>
      </c>
      <c r="D24">
        <f t="shared" si="0"/>
        <v>6.2937595701785656E-2</v>
      </c>
      <c r="E24">
        <f t="shared" si="4"/>
        <v>6.2709123604019409E-4</v>
      </c>
      <c r="H24" s="1">
        <v>5.5</v>
      </c>
      <c r="I24">
        <v>10293</v>
      </c>
      <c r="J24">
        <v>180021</v>
      </c>
      <c r="K24">
        <f t="shared" si="1"/>
        <v>0.16791418250209142</v>
      </c>
      <c r="L24">
        <f t="shared" si="5"/>
        <v>1.6550701004309422E-3</v>
      </c>
      <c r="O24" s="1">
        <v>5.5</v>
      </c>
      <c r="P24">
        <v>13606</v>
      </c>
      <c r="Q24">
        <v>200021</v>
      </c>
      <c r="R24">
        <f t="shared" si="2"/>
        <v>0.19976686258781828</v>
      </c>
      <c r="S24">
        <f t="shared" si="6"/>
        <v>1.7126089748748009E-3</v>
      </c>
      <c r="V24" s="1">
        <v>5.5</v>
      </c>
      <c r="W24">
        <v>10376</v>
      </c>
      <c r="X24">
        <v>64000021</v>
      </c>
      <c r="Y24">
        <f t="shared" si="3"/>
        <v>4.7612219058003119E-4</v>
      </c>
      <c r="Z24">
        <f t="shared" si="7"/>
        <v>4.6741585684822537E-6</v>
      </c>
    </row>
    <row r="25" spans="1:26" x14ac:dyDescent="0.35">
      <c r="A25" s="1">
        <v>6</v>
      </c>
      <c r="B25">
        <v>10147</v>
      </c>
      <c r="C25">
        <v>510022</v>
      </c>
      <c r="D25">
        <f t="shared" si="0"/>
        <v>5.8427503067536295E-2</v>
      </c>
      <c r="E25">
        <f t="shared" si="4"/>
        <v>5.8002738257092209E-4</v>
      </c>
      <c r="H25" s="1">
        <v>6</v>
      </c>
      <c r="I25">
        <v>10542</v>
      </c>
      <c r="J25">
        <v>190022</v>
      </c>
      <c r="K25">
        <f t="shared" si="1"/>
        <v>0.1629249902150593</v>
      </c>
      <c r="L25">
        <f t="shared" si="5"/>
        <v>1.5868146363852218E-3</v>
      </c>
      <c r="O25" s="1">
        <v>6</v>
      </c>
      <c r="P25">
        <v>13159</v>
      </c>
      <c r="Q25">
        <v>200022</v>
      </c>
      <c r="R25">
        <f t="shared" si="2"/>
        <v>0.19320292536954434</v>
      </c>
      <c r="S25">
        <f t="shared" si="6"/>
        <v>1.6842333182506138E-3</v>
      </c>
      <c r="V25" s="1">
        <v>6</v>
      </c>
      <c r="W25">
        <v>9547</v>
      </c>
      <c r="X25">
        <v>66000022</v>
      </c>
      <c r="Y25">
        <f t="shared" si="3"/>
        <v>4.2480675963579221E-4</v>
      </c>
      <c r="Z25">
        <f t="shared" si="7"/>
        <v>4.347683864312289E-6</v>
      </c>
    </row>
    <row r="26" spans="1:26" x14ac:dyDescent="0.35">
      <c r="A26" s="1">
        <v>6.5</v>
      </c>
      <c r="B26">
        <v>9758</v>
      </c>
      <c r="C26">
        <v>530023</v>
      </c>
      <c r="D26">
        <f t="shared" si="0"/>
        <v>5.4067298991277733E-2</v>
      </c>
      <c r="E26">
        <f t="shared" si="4"/>
        <v>5.4733631941218371E-4</v>
      </c>
      <c r="H26" s="1">
        <v>6.5</v>
      </c>
      <c r="I26">
        <v>10108</v>
      </c>
      <c r="J26">
        <v>190023</v>
      </c>
      <c r="K26">
        <f t="shared" si="1"/>
        <v>0.15621676480112406</v>
      </c>
      <c r="L26">
        <f t="shared" si="5"/>
        <v>1.5537996627174541E-3</v>
      </c>
      <c r="O26" s="1">
        <v>6.5</v>
      </c>
      <c r="P26">
        <v>13089</v>
      </c>
      <c r="Q26">
        <v>200023</v>
      </c>
      <c r="R26">
        <f t="shared" si="2"/>
        <v>0.19217421137247714</v>
      </c>
      <c r="S26">
        <f t="shared" si="6"/>
        <v>1.6797392627668135E-3</v>
      </c>
      <c r="V26" s="1">
        <v>6.5</v>
      </c>
      <c r="W26">
        <v>9018</v>
      </c>
      <c r="X26">
        <v>68000023</v>
      </c>
      <c r="Y26">
        <f t="shared" si="3"/>
        <v>3.8946617726341059E-4</v>
      </c>
      <c r="Z26">
        <f t="shared" si="7"/>
        <v>4.1012347862872522E-6</v>
      </c>
    </row>
    <row r="27" spans="1:26" x14ac:dyDescent="0.35">
      <c r="A27" s="1">
        <v>7</v>
      </c>
      <c r="B27">
        <v>10070</v>
      </c>
      <c r="C27">
        <v>600024</v>
      </c>
      <c r="D27">
        <f t="shared" si="0"/>
        <v>4.9286664178282868E-2</v>
      </c>
      <c r="E27">
        <f t="shared" si="4"/>
        <v>4.9115061245354132E-4</v>
      </c>
      <c r="H27" s="1">
        <v>7</v>
      </c>
      <c r="I27">
        <v>10530</v>
      </c>
      <c r="J27">
        <v>210024</v>
      </c>
      <c r="K27">
        <f t="shared" si="1"/>
        <v>0.14724075039466916</v>
      </c>
      <c r="L27">
        <f t="shared" si="5"/>
        <v>1.4348742322492138E-3</v>
      </c>
      <c r="O27" s="1">
        <v>7</v>
      </c>
      <c r="P27">
        <v>12587</v>
      </c>
      <c r="Q27">
        <v>200024</v>
      </c>
      <c r="R27">
        <f t="shared" si="2"/>
        <v>0.18480286542230429</v>
      </c>
      <c r="S27">
        <f t="shared" si="6"/>
        <v>1.6472047451652693E-3</v>
      </c>
      <c r="V27" s="1">
        <v>7</v>
      </c>
      <c r="W27">
        <v>8679</v>
      </c>
      <c r="X27">
        <v>70000024</v>
      </c>
      <c r="Y27">
        <f t="shared" si="3"/>
        <v>3.6411626224623866E-4</v>
      </c>
      <c r="Z27">
        <f t="shared" si="7"/>
        <v>3.9084560410110386E-6</v>
      </c>
    </row>
    <row r="28" spans="1:26" x14ac:dyDescent="0.35">
      <c r="A28" s="1">
        <v>7.5</v>
      </c>
      <c r="B28">
        <v>10146</v>
      </c>
      <c r="C28">
        <v>640025</v>
      </c>
      <c r="D28">
        <f t="shared" si="0"/>
        <v>4.6555017708211389E-2</v>
      </c>
      <c r="E28">
        <f t="shared" si="4"/>
        <v>4.6218842748458965E-4</v>
      </c>
      <c r="H28" s="1">
        <v>7.5</v>
      </c>
      <c r="I28">
        <v>9555</v>
      </c>
      <c r="J28">
        <v>200025</v>
      </c>
      <c r="K28">
        <f t="shared" si="1"/>
        <v>0.14028621206456693</v>
      </c>
      <c r="L28">
        <f t="shared" si="5"/>
        <v>1.4351577583155215E-3</v>
      </c>
      <c r="O28" s="1">
        <v>7.5</v>
      </c>
      <c r="P28">
        <v>10056</v>
      </c>
      <c r="Q28">
        <v>170025</v>
      </c>
      <c r="R28">
        <f t="shared" si="2"/>
        <v>0.17369249660654607</v>
      </c>
      <c r="S28">
        <f t="shared" si="6"/>
        <v>1.7320819075403743E-3</v>
      </c>
      <c r="V28" s="1">
        <v>7.5</v>
      </c>
      <c r="W28">
        <v>10551</v>
      </c>
      <c r="X28">
        <v>92000025</v>
      </c>
      <c r="Y28">
        <f t="shared" si="3"/>
        <v>3.3680168389044456E-4</v>
      </c>
      <c r="Z28">
        <f t="shared" si="7"/>
        <v>3.2788944952714047E-6</v>
      </c>
    </row>
    <row r="29" spans="1:26" x14ac:dyDescent="0.35">
      <c r="A29" s="1">
        <v>8</v>
      </c>
      <c r="B29">
        <v>11044</v>
      </c>
      <c r="C29">
        <v>740026</v>
      </c>
      <c r="D29">
        <f t="shared" si="0"/>
        <v>4.3827630946442417E-2</v>
      </c>
      <c r="E29">
        <f t="shared" si="4"/>
        <v>4.1704680364923285E-4</v>
      </c>
      <c r="H29" s="1">
        <v>8</v>
      </c>
      <c r="I29">
        <v>9482</v>
      </c>
      <c r="J29">
        <v>215026</v>
      </c>
      <c r="K29">
        <f t="shared" si="1"/>
        <v>0.12950232078384008</v>
      </c>
      <c r="L29">
        <f t="shared" si="5"/>
        <v>1.329926304248147E-3</v>
      </c>
      <c r="O29" s="1">
        <v>8</v>
      </c>
      <c r="P29">
        <v>10074</v>
      </c>
      <c r="Q29">
        <v>180026</v>
      </c>
      <c r="R29">
        <f t="shared" si="2"/>
        <v>0.16433697593770899</v>
      </c>
      <c r="S29">
        <f t="shared" si="6"/>
        <v>1.6373228310999422E-3</v>
      </c>
      <c r="V29" s="1">
        <v>8</v>
      </c>
      <c r="W29">
        <v>10545</v>
      </c>
      <c r="X29">
        <v>96000026</v>
      </c>
      <c r="Y29">
        <f t="shared" si="3"/>
        <v>3.2258473318627016E-4</v>
      </c>
      <c r="Z29">
        <f t="shared" si="7"/>
        <v>3.1413803141799641E-6</v>
      </c>
    </row>
    <row r="30" spans="1:26" x14ac:dyDescent="0.35">
      <c r="A30" s="1">
        <v>8.5</v>
      </c>
      <c r="B30">
        <v>10485</v>
      </c>
      <c r="C30">
        <v>780027</v>
      </c>
      <c r="D30">
        <f t="shared" si="0"/>
        <v>3.9475476008272788E-2</v>
      </c>
      <c r="E30">
        <f t="shared" si="4"/>
        <v>3.8551666662550293E-4</v>
      </c>
      <c r="H30" s="1">
        <v>8.5</v>
      </c>
      <c r="I30">
        <v>9680</v>
      </c>
      <c r="J30">
        <v>220027</v>
      </c>
      <c r="K30">
        <f t="shared" si="1"/>
        <v>0.12920161920964243</v>
      </c>
      <c r="L30">
        <f t="shared" si="5"/>
        <v>1.3131981970718326E-3</v>
      </c>
      <c r="O30" s="1">
        <v>8.5</v>
      </c>
      <c r="P30">
        <v>9984</v>
      </c>
      <c r="Q30">
        <v>180027</v>
      </c>
      <c r="R30">
        <f t="shared" si="2"/>
        <v>0.16286790290896366</v>
      </c>
      <c r="S30">
        <f t="shared" si="6"/>
        <v>1.629983537932408E-3</v>
      </c>
      <c r="V30" s="1">
        <v>8.5</v>
      </c>
      <c r="W30">
        <v>10086</v>
      </c>
      <c r="X30">
        <v>98000027</v>
      </c>
      <c r="Y30">
        <f t="shared" si="3"/>
        <v>3.0224654489042124E-4</v>
      </c>
      <c r="Z30">
        <f t="shared" si="7"/>
        <v>3.0095520792713104E-6</v>
      </c>
    </row>
    <row r="31" spans="1:26" x14ac:dyDescent="0.35">
      <c r="A31" s="1">
        <v>9</v>
      </c>
      <c r="B31">
        <v>12547</v>
      </c>
      <c r="C31">
        <v>1000028</v>
      </c>
      <c r="D31">
        <f t="shared" si="0"/>
        <v>3.6846506218536877E-2</v>
      </c>
      <c r="E31">
        <f t="shared" si="4"/>
        <v>3.2894732979745866E-4</v>
      </c>
      <c r="H31" s="1">
        <v>9</v>
      </c>
      <c r="I31">
        <v>9603</v>
      </c>
      <c r="J31">
        <v>240029</v>
      </c>
      <c r="K31">
        <f t="shared" si="1"/>
        <v>0.11749294496597912</v>
      </c>
      <c r="L31">
        <f t="shared" si="5"/>
        <v>1.1989700236655233E-3</v>
      </c>
      <c r="O31" s="1">
        <v>9</v>
      </c>
      <c r="P31">
        <v>10202</v>
      </c>
      <c r="Q31">
        <v>192028</v>
      </c>
      <c r="R31">
        <f t="shared" si="2"/>
        <v>0.15602325605758535</v>
      </c>
      <c r="S31">
        <f t="shared" si="6"/>
        <v>1.5447090016903E-3</v>
      </c>
      <c r="V31" s="1">
        <v>9</v>
      </c>
      <c r="W31">
        <v>9564</v>
      </c>
      <c r="X31">
        <v>100000028</v>
      </c>
      <c r="Y31">
        <f t="shared" si="3"/>
        <v>2.8087172551123684E-4</v>
      </c>
      <c r="Z31">
        <f t="shared" si="7"/>
        <v>2.8720251496153299E-6</v>
      </c>
    </row>
    <row r="32" spans="1:26" x14ac:dyDescent="0.35">
      <c r="A32" s="1">
        <v>9.5</v>
      </c>
      <c r="B32">
        <v>11841</v>
      </c>
      <c r="C32">
        <v>1000029</v>
      </c>
      <c r="D32">
        <f t="shared" si="0"/>
        <v>3.4773176364618422E-2</v>
      </c>
      <c r="E32">
        <f t="shared" si="4"/>
        <v>3.1955835192102396E-4</v>
      </c>
      <c r="H32" s="1">
        <v>9.5</v>
      </c>
      <c r="I32">
        <v>10222</v>
      </c>
      <c r="J32">
        <v>270029</v>
      </c>
      <c r="K32">
        <f t="shared" si="1"/>
        <v>0.11117164834327423</v>
      </c>
      <c r="L32">
        <f t="shared" si="5"/>
        <v>1.0995781636931904E-3</v>
      </c>
      <c r="O32" s="1">
        <v>9.5</v>
      </c>
      <c r="P32">
        <v>10201</v>
      </c>
      <c r="Q32">
        <v>200029</v>
      </c>
      <c r="R32">
        <f t="shared" si="2"/>
        <v>0.14976776894056862</v>
      </c>
      <c r="S32">
        <f t="shared" si="6"/>
        <v>1.4828491974313725E-3</v>
      </c>
      <c r="V32" s="1">
        <v>9.5</v>
      </c>
      <c r="W32">
        <v>10302</v>
      </c>
      <c r="X32">
        <v>114000029</v>
      </c>
      <c r="Y32">
        <f t="shared" si="3"/>
        <v>2.6539037016846723E-4</v>
      </c>
      <c r="Z32">
        <f t="shared" si="7"/>
        <v>2.6147151751781563E-6</v>
      </c>
    </row>
    <row r="33" spans="1:26" x14ac:dyDescent="0.35">
      <c r="A33" s="1">
        <v>10</v>
      </c>
      <c r="B33">
        <v>11427</v>
      </c>
      <c r="C33">
        <v>1000030</v>
      </c>
      <c r="D33">
        <f t="shared" si="0"/>
        <v>3.3557359089378319E-2</v>
      </c>
      <c r="E33">
        <f t="shared" si="4"/>
        <v>3.1392193416840603E-4</v>
      </c>
      <c r="H33" s="1">
        <v>10</v>
      </c>
      <c r="I33">
        <v>10303</v>
      </c>
      <c r="J33">
        <v>280030</v>
      </c>
      <c r="K33">
        <f t="shared" si="1"/>
        <v>0.10805073262271542</v>
      </c>
      <c r="L33">
        <f t="shared" si="5"/>
        <v>1.0645004907458564E-3</v>
      </c>
      <c r="O33" s="1">
        <v>10</v>
      </c>
      <c r="P33">
        <v>10333</v>
      </c>
      <c r="Q33">
        <v>200030</v>
      </c>
      <c r="R33">
        <f t="shared" si="2"/>
        <v>0.15170499165489676</v>
      </c>
      <c r="S33">
        <f t="shared" si="6"/>
        <v>1.4924048654103947E-3</v>
      </c>
      <c r="V33" s="1">
        <v>10</v>
      </c>
      <c r="W33">
        <v>10696</v>
      </c>
      <c r="X33">
        <v>125000030</v>
      </c>
      <c r="Y33">
        <f t="shared" si="3"/>
        <v>2.5129268893653864E-4</v>
      </c>
      <c r="Z33">
        <f t="shared" si="7"/>
        <v>2.429792327497151E-6</v>
      </c>
    </row>
    <row r="34" spans="1:26" x14ac:dyDescent="0.35">
      <c r="A34" s="1">
        <v>10.5</v>
      </c>
      <c r="B34">
        <v>11139</v>
      </c>
      <c r="C34">
        <v>1000031</v>
      </c>
      <c r="D34">
        <f t="shared" si="0"/>
        <v>3.2711564637503236E-2</v>
      </c>
      <c r="E34">
        <f t="shared" si="4"/>
        <v>3.0994041879751135E-4</v>
      </c>
      <c r="H34" s="1">
        <v>10.5</v>
      </c>
      <c r="I34">
        <v>10747</v>
      </c>
      <c r="J34">
        <v>290031</v>
      </c>
      <c r="K34">
        <f t="shared" si="1"/>
        <v>0.10882067247056694</v>
      </c>
      <c r="L34">
        <f t="shared" si="5"/>
        <v>1.0497062449128984E-3</v>
      </c>
      <c r="O34" s="1">
        <v>10.5</v>
      </c>
      <c r="P34">
        <v>10741</v>
      </c>
      <c r="Q34">
        <v>210031</v>
      </c>
      <c r="R34">
        <f t="shared" si="2"/>
        <v>0.15018615296043442</v>
      </c>
      <c r="S34">
        <f t="shared" si="6"/>
        <v>1.4491306249295296E-3</v>
      </c>
      <c r="V34" s="1">
        <v>10.5</v>
      </c>
      <c r="W34">
        <v>10253</v>
      </c>
      <c r="X34">
        <v>126000031</v>
      </c>
      <c r="Y34">
        <f t="shared" si="3"/>
        <v>2.3897302545654927E-4</v>
      </c>
      <c r="Z34">
        <f t="shared" si="7"/>
        <v>2.3600619507913053E-6</v>
      </c>
    </row>
    <row r="35" spans="1:26" x14ac:dyDescent="0.35">
      <c r="A35" s="1">
        <v>11</v>
      </c>
      <c r="B35">
        <v>12314</v>
      </c>
      <c r="C35">
        <v>1100032</v>
      </c>
      <c r="D35">
        <f t="shared" si="0"/>
        <v>3.2874746054007517E-2</v>
      </c>
      <c r="E35">
        <f t="shared" si="4"/>
        <v>2.962530512936577E-4</v>
      </c>
      <c r="H35" s="1">
        <v>11</v>
      </c>
      <c r="I35">
        <v>11066</v>
      </c>
      <c r="J35">
        <v>300032</v>
      </c>
      <c r="K35">
        <f t="shared" si="1"/>
        <v>0.10831576350741921</v>
      </c>
      <c r="L35">
        <f t="shared" si="5"/>
        <v>1.0296659052312705E-3</v>
      </c>
      <c r="O35" s="1">
        <v>11</v>
      </c>
      <c r="P35">
        <v>10301</v>
      </c>
      <c r="Q35">
        <v>210032</v>
      </c>
      <c r="R35">
        <f t="shared" si="2"/>
        <v>0.14403316225486115</v>
      </c>
      <c r="S35">
        <f t="shared" si="6"/>
        <v>1.4191320297306765E-3</v>
      </c>
      <c r="V35" s="1">
        <v>11</v>
      </c>
      <c r="W35">
        <v>9759</v>
      </c>
      <c r="X35">
        <v>128000032</v>
      </c>
      <c r="Y35">
        <f t="shared" si="3"/>
        <v>2.2390501257114529E-4</v>
      </c>
      <c r="Z35">
        <f t="shared" si="7"/>
        <v>2.2665283584640559E-6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Chaudhary</dc:creator>
  <cp:lastModifiedBy>Kishan Chaudhary</cp:lastModifiedBy>
  <dcterms:created xsi:type="dcterms:W3CDTF">2025-11-14T15:43:30Z</dcterms:created>
  <dcterms:modified xsi:type="dcterms:W3CDTF">2025-11-14T16:10:51Z</dcterms:modified>
</cp:coreProperties>
</file>